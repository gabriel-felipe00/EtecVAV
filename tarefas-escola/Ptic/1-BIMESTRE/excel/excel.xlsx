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babãobobo\excel\"/>
    </mc:Choice>
  </mc:AlternateContent>
  <bookViews>
    <workbookView xWindow="0" yWindow="0" windowWidth="24000" windowHeight="95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0" i="1" l="1"/>
  <c r="B44" i="1"/>
  <c r="B43" i="1"/>
  <c r="B42" i="1"/>
  <c r="B41" i="1"/>
  <c r="A36" i="1"/>
  <c r="H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</calcChain>
</file>

<file path=xl/sharedStrings.xml><?xml version="1.0" encoding="utf-8"?>
<sst xmlns="http://schemas.openxmlformats.org/spreadsheetml/2006/main" count="111" uniqueCount="56">
  <si>
    <t>açougue</t>
  </si>
  <si>
    <t>limpeza</t>
  </si>
  <si>
    <t>hortifruti</t>
  </si>
  <si>
    <t>bebidas</t>
  </si>
  <si>
    <t>hortifuti</t>
  </si>
  <si>
    <t>laticinios</t>
  </si>
  <si>
    <t>coxa de frango</t>
  </si>
  <si>
    <t>sabão em pó</t>
  </si>
  <si>
    <t>batata</t>
  </si>
  <si>
    <t>frango inteiro</t>
  </si>
  <si>
    <t>refrigerante 2l</t>
  </si>
  <si>
    <t>ovo</t>
  </si>
  <si>
    <t>tomate</t>
  </si>
  <si>
    <t>contra file</t>
  </si>
  <si>
    <t>manteiga</t>
  </si>
  <si>
    <t>detergente</t>
  </si>
  <si>
    <t>salmão</t>
  </si>
  <si>
    <t>maça fugi</t>
  </si>
  <si>
    <t>cebola</t>
  </si>
  <si>
    <t>margarina</t>
  </si>
  <si>
    <t>picanha</t>
  </si>
  <si>
    <t>vinho tinto</t>
  </si>
  <si>
    <t>alface</t>
  </si>
  <si>
    <t>coxão mole</t>
  </si>
  <si>
    <t>agua mineral</t>
  </si>
  <si>
    <t>iorgurte</t>
  </si>
  <si>
    <t>sabonete</t>
  </si>
  <si>
    <t>atum</t>
  </si>
  <si>
    <t>leite integral</t>
  </si>
  <si>
    <t>limão</t>
  </si>
  <si>
    <t>queijo prato</t>
  </si>
  <si>
    <t>linguiça</t>
  </si>
  <si>
    <t>laranja</t>
  </si>
  <si>
    <t>requeijão</t>
  </si>
  <si>
    <t>cenoura</t>
  </si>
  <si>
    <t>maça gala</t>
  </si>
  <si>
    <t>ID_produto</t>
  </si>
  <si>
    <t>data_entrada</t>
  </si>
  <si>
    <t>Categoría</t>
  </si>
  <si>
    <t>Produto</t>
  </si>
  <si>
    <t>embalagem</t>
  </si>
  <si>
    <t>quantidade_Estoque</t>
  </si>
  <si>
    <t>preço_custo</t>
  </si>
  <si>
    <t>total_estoque</t>
  </si>
  <si>
    <t>preço_venda</t>
  </si>
  <si>
    <t>%lucro</t>
  </si>
  <si>
    <t>kg</t>
  </si>
  <si>
    <t>unidade</t>
  </si>
  <si>
    <t>total_produtos</t>
  </si>
  <si>
    <t>categoria</t>
  </si>
  <si>
    <t>liticinios</t>
  </si>
  <si>
    <t>total</t>
  </si>
  <si>
    <t>analise</t>
  </si>
  <si>
    <t>gabriel</t>
  </si>
  <si>
    <t>thiago r.</t>
  </si>
  <si>
    <t>felipe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</si>
</sst>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2">
    <dxf/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workbookViewId="0">
      <selection activeCell="K4" sqref="K4"/>
    </sheetView>
  </sheetViews>
  <sheetFormatPr defaultRowHeight="15" x14ac:dyDescent="0.25"/>
  <cols>
    <col min="1" max="1" width="14.28515625" customWidth="1"/>
    <col min="2" max="2" width="13.7109375" customWidth="1"/>
    <col min="3" max="3" width="14" bestFit="1" customWidth="1"/>
    <col min="4" max="4" width="18.42578125" customWidth="1"/>
    <col min="5" max="5" width="12.42578125" customWidth="1"/>
    <col min="6" max="6" width="21.140625" customWidth="1"/>
    <col min="7" max="7" width="18.28515625" customWidth="1"/>
    <col min="8" max="8" width="16" customWidth="1"/>
    <col min="9" max="9" width="16.85546875" customWidth="1"/>
    <col min="10" max="10" width="16.5703125" customWidth="1"/>
    <col min="11" max="11" width="18" customWidth="1"/>
  </cols>
  <sheetData>
    <row r="1" spans="1:11" x14ac:dyDescent="0.25">
      <c r="A1" t="s">
        <v>53</v>
      </c>
      <c r="B1" t="s">
        <v>54</v>
      </c>
      <c r="C1" t="s">
        <v>55</v>
      </c>
    </row>
    <row r="3" spans="1:11" x14ac:dyDescent="0.25">
      <c r="A3" t="s">
        <v>36</v>
      </c>
      <c r="B3" s="1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52</v>
      </c>
    </row>
    <row r="4" spans="1:11" x14ac:dyDescent="0.25">
      <c r="A4">
        <v>1000</v>
      </c>
      <c r="B4" s="1">
        <v>45292</v>
      </c>
      <c r="C4" t="s">
        <v>0</v>
      </c>
      <c r="D4" t="s">
        <v>6</v>
      </c>
      <c r="E4" t="s">
        <v>46</v>
      </c>
      <c r="F4">
        <v>82</v>
      </c>
      <c r="G4">
        <v>18.79</v>
      </c>
      <c r="H4">
        <f>F4*G4</f>
        <v>1540.78</v>
      </c>
      <c r="I4">
        <v>25</v>
      </c>
      <c r="J4" s="2">
        <v>0.33</v>
      </c>
    </row>
    <row r="5" spans="1:11" x14ac:dyDescent="0.25">
      <c r="A5">
        <v>1001</v>
      </c>
      <c r="B5" s="1">
        <v>45293</v>
      </c>
      <c r="C5" t="s">
        <v>1</v>
      </c>
      <c r="D5" t="s">
        <v>7</v>
      </c>
      <c r="E5" t="s">
        <v>47</v>
      </c>
      <c r="F5">
        <v>52</v>
      </c>
      <c r="G5">
        <v>11.82</v>
      </c>
      <c r="H5">
        <f t="shared" ref="H5:H33" si="0">F5*G5</f>
        <v>614.64</v>
      </c>
      <c r="I5">
        <v>17.93</v>
      </c>
      <c r="J5" s="2">
        <f t="shared" ref="J5:J33" si="1">(I5-G5)/G5</f>
        <v>0.51692047377326555</v>
      </c>
    </row>
    <row r="6" spans="1:11" x14ac:dyDescent="0.25">
      <c r="A6">
        <v>1002</v>
      </c>
      <c r="B6" s="1">
        <v>45294</v>
      </c>
      <c r="C6" t="s">
        <v>2</v>
      </c>
      <c r="D6" t="s">
        <v>8</v>
      </c>
      <c r="E6" t="s">
        <v>46</v>
      </c>
      <c r="F6">
        <v>61</v>
      </c>
      <c r="G6">
        <v>4</v>
      </c>
      <c r="H6">
        <f t="shared" si="0"/>
        <v>244</v>
      </c>
      <c r="I6">
        <v>6.89</v>
      </c>
      <c r="J6" s="2">
        <f t="shared" si="1"/>
        <v>0.72249999999999992</v>
      </c>
    </row>
    <row r="7" spans="1:11" x14ac:dyDescent="0.25">
      <c r="A7">
        <v>1003</v>
      </c>
      <c r="B7" s="1">
        <v>45295</v>
      </c>
      <c r="C7" t="s">
        <v>0</v>
      </c>
      <c r="D7" t="s">
        <v>9</v>
      </c>
      <c r="E7" t="s">
        <v>46</v>
      </c>
      <c r="F7">
        <v>80</v>
      </c>
      <c r="G7">
        <v>15.14</v>
      </c>
      <c r="H7">
        <f t="shared" si="0"/>
        <v>1211.2</v>
      </c>
      <c r="I7">
        <v>18.25</v>
      </c>
      <c r="J7" s="2">
        <f t="shared" si="1"/>
        <v>0.20541611624834871</v>
      </c>
    </row>
    <row r="8" spans="1:11" x14ac:dyDescent="0.25">
      <c r="A8">
        <v>1004</v>
      </c>
      <c r="B8" s="1">
        <v>45296</v>
      </c>
      <c r="C8" t="s">
        <v>3</v>
      </c>
      <c r="D8" t="s">
        <v>10</v>
      </c>
      <c r="E8" t="s">
        <v>47</v>
      </c>
      <c r="F8">
        <v>48</v>
      </c>
      <c r="G8">
        <v>4.55</v>
      </c>
      <c r="H8">
        <f t="shared" si="0"/>
        <v>218.39999999999998</v>
      </c>
      <c r="I8">
        <v>7.99</v>
      </c>
      <c r="J8" s="2">
        <f t="shared" si="1"/>
        <v>0.75604395604395613</v>
      </c>
    </row>
    <row r="9" spans="1:11" x14ac:dyDescent="0.25">
      <c r="A9">
        <v>1005</v>
      </c>
      <c r="B9" s="1">
        <v>45297</v>
      </c>
      <c r="C9" t="s">
        <v>2</v>
      </c>
      <c r="D9" t="s">
        <v>11</v>
      </c>
      <c r="E9" t="s">
        <v>47</v>
      </c>
      <c r="F9">
        <v>87</v>
      </c>
      <c r="G9">
        <v>0.66</v>
      </c>
      <c r="H9">
        <f t="shared" si="0"/>
        <v>57.42</v>
      </c>
      <c r="I9">
        <v>1.1000000000000001</v>
      </c>
      <c r="J9" s="2">
        <f t="shared" si="1"/>
        <v>0.66666666666666674</v>
      </c>
    </row>
    <row r="10" spans="1:11" x14ac:dyDescent="0.25">
      <c r="A10">
        <v>1006</v>
      </c>
      <c r="B10" s="1">
        <v>45298</v>
      </c>
      <c r="C10" t="s">
        <v>4</v>
      </c>
      <c r="D10" t="s">
        <v>12</v>
      </c>
      <c r="F10">
        <v>37</v>
      </c>
      <c r="G10">
        <v>4.8899999999999997</v>
      </c>
      <c r="H10">
        <f t="shared" si="0"/>
        <v>180.92999999999998</v>
      </c>
      <c r="I10">
        <v>6.99</v>
      </c>
      <c r="J10" s="2">
        <f t="shared" si="1"/>
        <v>0.42944785276073633</v>
      </c>
    </row>
    <row r="11" spans="1:11" x14ac:dyDescent="0.25">
      <c r="A11">
        <v>1007</v>
      </c>
      <c r="B11" s="1">
        <v>45299</v>
      </c>
      <c r="C11" t="s">
        <v>0</v>
      </c>
      <c r="D11" t="s">
        <v>13</v>
      </c>
      <c r="E11" t="s">
        <v>46</v>
      </c>
      <c r="F11">
        <v>68</v>
      </c>
      <c r="G11">
        <v>38.700000000000003</v>
      </c>
      <c r="H11">
        <f t="shared" si="0"/>
        <v>2631.6000000000004</v>
      </c>
      <c r="I11">
        <v>53.8</v>
      </c>
      <c r="J11" s="2">
        <f t="shared" si="1"/>
        <v>0.3901808785529714</v>
      </c>
    </row>
    <row r="12" spans="1:11" x14ac:dyDescent="0.25">
      <c r="A12">
        <v>1008</v>
      </c>
      <c r="B12" s="1">
        <v>45300</v>
      </c>
      <c r="C12" t="s">
        <v>5</v>
      </c>
      <c r="D12" t="s">
        <v>14</v>
      </c>
      <c r="E12" t="s">
        <v>47</v>
      </c>
      <c r="F12">
        <v>62</v>
      </c>
      <c r="G12">
        <v>16.899999999999999</v>
      </c>
      <c r="H12">
        <f t="shared" si="0"/>
        <v>1047.8</v>
      </c>
      <c r="I12">
        <v>21.08</v>
      </c>
      <c r="J12" s="2">
        <f t="shared" si="1"/>
        <v>0.24733727810650888</v>
      </c>
    </row>
    <row r="13" spans="1:11" x14ac:dyDescent="0.25">
      <c r="A13">
        <v>1009</v>
      </c>
      <c r="B13" s="1">
        <v>45301</v>
      </c>
      <c r="C13" t="s">
        <v>1</v>
      </c>
      <c r="D13" t="s">
        <v>15</v>
      </c>
      <c r="E13" t="s">
        <v>47</v>
      </c>
      <c r="F13">
        <v>32</v>
      </c>
      <c r="G13">
        <v>1.89</v>
      </c>
      <c r="H13">
        <f t="shared" si="0"/>
        <v>60.48</v>
      </c>
      <c r="I13">
        <v>3.25</v>
      </c>
      <c r="J13" s="2">
        <f t="shared" si="1"/>
        <v>0.71957671957671965</v>
      </c>
    </row>
    <row r="14" spans="1:11" x14ac:dyDescent="0.25">
      <c r="A14">
        <v>1010</v>
      </c>
      <c r="B14" s="1">
        <v>45302</v>
      </c>
      <c r="C14" t="s">
        <v>0</v>
      </c>
      <c r="D14" t="s">
        <v>16</v>
      </c>
      <c r="E14" t="s">
        <v>46</v>
      </c>
      <c r="F14">
        <v>55</v>
      </c>
      <c r="G14">
        <v>65.8</v>
      </c>
      <c r="H14">
        <f t="shared" si="0"/>
        <v>3619</v>
      </c>
      <c r="I14">
        <v>77.8</v>
      </c>
      <c r="J14" s="2">
        <f t="shared" si="1"/>
        <v>0.18237082066869301</v>
      </c>
    </row>
    <row r="15" spans="1:11" x14ac:dyDescent="0.25">
      <c r="A15">
        <v>1011</v>
      </c>
      <c r="B15" s="1">
        <v>45303</v>
      </c>
      <c r="C15" t="s">
        <v>2</v>
      </c>
      <c r="D15" t="s">
        <v>17</v>
      </c>
      <c r="E15" t="s">
        <v>46</v>
      </c>
      <c r="F15">
        <v>56</v>
      </c>
      <c r="G15">
        <v>8.9</v>
      </c>
      <c r="H15">
        <f t="shared" si="0"/>
        <v>498.40000000000003</v>
      </c>
      <c r="I15">
        <v>12</v>
      </c>
      <c r="J15" s="2">
        <f t="shared" si="1"/>
        <v>0.348314606741573</v>
      </c>
    </row>
    <row r="16" spans="1:11" x14ac:dyDescent="0.25">
      <c r="A16">
        <v>1012</v>
      </c>
      <c r="B16" s="1">
        <v>45304</v>
      </c>
      <c r="C16" t="s">
        <v>2</v>
      </c>
      <c r="D16" t="s">
        <v>18</v>
      </c>
      <c r="E16" t="s">
        <v>46</v>
      </c>
      <c r="F16">
        <v>50</v>
      </c>
      <c r="G16">
        <v>3.8</v>
      </c>
      <c r="H16">
        <f t="shared" si="0"/>
        <v>190</v>
      </c>
      <c r="I16">
        <v>6.2</v>
      </c>
      <c r="J16" s="2">
        <f t="shared" si="1"/>
        <v>0.63157894736842113</v>
      </c>
    </row>
    <row r="17" spans="1:10" x14ac:dyDescent="0.25">
      <c r="A17">
        <v>1013</v>
      </c>
      <c r="B17" s="1">
        <v>45305</v>
      </c>
      <c r="C17" t="s">
        <v>5</v>
      </c>
      <c r="D17" t="s">
        <v>19</v>
      </c>
      <c r="E17" t="s">
        <v>47</v>
      </c>
      <c r="F17">
        <v>73</v>
      </c>
      <c r="G17">
        <v>8.8000000000000007</v>
      </c>
      <c r="H17">
        <f t="shared" si="0"/>
        <v>642.40000000000009</v>
      </c>
      <c r="I17">
        <v>12.7</v>
      </c>
      <c r="J17" s="2">
        <f t="shared" si="1"/>
        <v>0.44318181818181801</v>
      </c>
    </row>
    <row r="18" spans="1:10" x14ac:dyDescent="0.25">
      <c r="A18">
        <v>1014</v>
      </c>
      <c r="B18" s="1">
        <v>45306</v>
      </c>
      <c r="C18" t="s">
        <v>0</v>
      </c>
      <c r="D18" t="s">
        <v>20</v>
      </c>
      <c r="E18" t="s">
        <v>46</v>
      </c>
      <c r="F18">
        <v>14</v>
      </c>
      <c r="G18">
        <v>50.8</v>
      </c>
      <c r="H18">
        <f t="shared" si="0"/>
        <v>711.19999999999993</v>
      </c>
      <c r="I18">
        <v>67.989999999999995</v>
      </c>
      <c r="J18" s="2">
        <f t="shared" si="1"/>
        <v>0.33838582677165352</v>
      </c>
    </row>
    <row r="19" spans="1:10" x14ac:dyDescent="0.25">
      <c r="A19">
        <v>1015</v>
      </c>
      <c r="B19" s="1">
        <v>45307</v>
      </c>
      <c r="C19" t="s">
        <v>3</v>
      </c>
      <c r="D19" t="s">
        <v>21</v>
      </c>
      <c r="E19" t="s">
        <v>47</v>
      </c>
      <c r="F19">
        <v>23</v>
      </c>
      <c r="G19">
        <v>18.8</v>
      </c>
      <c r="H19">
        <f t="shared" si="0"/>
        <v>432.40000000000003</v>
      </c>
      <c r="I19">
        <v>22.7</v>
      </c>
      <c r="J19" s="2">
        <f t="shared" si="1"/>
        <v>0.20744680851063821</v>
      </c>
    </row>
    <row r="20" spans="1:10" x14ac:dyDescent="0.25">
      <c r="A20">
        <v>1016</v>
      </c>
      <c r="B20" s="1">
        <v>45308</v>
      </c>
      <c r="C20" t="s">
        <v>2</v>
      </c>
      <c r="D20" t="s">
        <v>22</v>
      </c>
      <c r="E20" t="s">
        <v>47</v>
      </c>
      <c r="F20">
        <v>72</v>
      </c>
      <c r="G20">
        <v>1.78</v>
      </c>
      <c r="H20">
        <f t="shared" si="0"/>
        <v>128.16</v>
      </c>
      <c r="I20">
        <v>2.78</v>
      </c>
      <c r="J20" s="2">
        <f t="shared" si="1"/>
        <v>0.56179775280898858</v>
      </c>
    </row>
    <row r="21" spans="1:10" x14ac:dyDescent="0.25">
      <c r="A21">
        <v>1017</v>
      </c>
      <c r="B21" s="1">
        <v>45309</v>
      </c>
      <c r="C21" t="s">
        <v>0</v>
      </c>
      <c r="D21" t="s">
        <v>23</v>
      </c>
      <c r="E21" t="s">
        <v>46</v>
      </c>
      <c r="F21">
        <v>88</v>
      </c>
      <c r="G21">
        <v>29.73</v>
      </c>
      <c r="H21">
        <f t="shared" si="0"/>
        <v>2616.2400000000002</v>
      </c>
      <c r="I21">
        <v>42.8</v>
      </c>
      <c r="J21" s="2">
        <f t="shared" si="1"/>
        <v>0.43962327615203489</v>
      </c>
    </row>
    <row r="22" spans="1:10" x14ac:dyDescent="0.25">
      <c r="A22">
        <v>1018</v>
      </c>
      <c r="B22" s="1">
        <v>45310</v>
      </c>
      <c r="C22" t="s">
        <v>3</v>
      </c>
      <c r="D22" t="s">
        <v>24</v>
      </c>
      <c r="E22" t="s">
        <v>47</v>
      </c>
      <c r="F22">
        <v>75</v>
      </c>
      <c r="G22">
        <v>8.99</v>
      </c>
      <c r="H22">
        <f t="shared" si="0"/>
        <v>674.25</v>
      </c>
      <c r="I22">
        <v>12.7</v>
      </c>
      <c r="J22" s="2">
        <f t="shared" si="1"/>
        <v>0.41268075639599544</v>
      </c>
    </row>
    <row r="23" spans="1:10" x14ac:dyDescent="0.25">
      <c r="A23">
        <v>1019</v>
      </c>
      <c r="B23" s="1">
        <v>45311</v>
      </c>
      <c r="C23" t="s">
        <v>5</v>
      </c>
      <c r="D23" t="s">
        <v>25</v>
      </c>
      <c r="E23" t="s">
        <v>47</v>
      </c>
      <c r="F23">
        <v>18</v>
      </c>
      <c r="G23">
        <v>7.8</v>
      </c>
      <c r="H23">
        <f t="shared" si="0"/>
        <v>140.4</v>
      </c>
      <c r="I23">
        <v>10.5</v>
      </c>
      <c r="J23" s="2">
        <f t="shared" si="1"/>
        <v>0.3461538461538462</v>
      </c>
    </row>
    <row r="24" spans="1:10" x14ac:dyDescent="0.25">
      <c r="A24">
        <v>1020</v>
      </c>
      <c r="B24" s="1">
        <v>45312</v>
      </c>
      <c r="C24" t="s">
        <v>1</v>
      </c>
      <c r="D24" t="s">
        <v>26</v>
      </c>
      <c r="E24" t="s">
        <v>47</v>
      </c>
      <c r="F24">
        <v>85</v>
      </c>
      <c r="G24">
        <v>2.34</v>
      </c>
      <c r="H24">
        <f t="shared" si="0"/>
        <v>198.89999999999998</v>
      </c>
      <c r="I24">
        <v>3.55</v>
      </c>
      <c r="J24" s="2">
        <f t="shared" si="1"/>
        <v>0.51709401709401714</v>
      </c>
    </row>
    <row r="25" spans="1:10" x14ac:dyDescent="0.25">
      <c r="A25">
        <v>1021</v>
      </c>
      <c r="B25" s="1">
        <v>45313</v>
      </c>
      <c r="C25" t="s">
        <v>0</v>
      </c>
      <c r="D25" t="s">
        <v>27</v>
      </c>
      <c r="E25" t="s">
        <v>46</v>
      </c>
      <c r="F25">
        <v>30</v>
      </c>
      <c r="G25">
        <v>39.159999999999997</v>
      </c>
      <c r="H25">
        <f t="shared" si="0"/>
        <v>1174.8</v>
      </c>
      <c r="I25">
        <v>55.5</v>
      </c>
      <c r="J25" s="2">
        <f t="shared" si="1"/>
        <v>0.41726251276813087</v>
      </c>
    </row>
    <row r="26" spans="1:10" x14ac:dyDescent="0.25">
      <c r="A26">
        <v>1022</v>
      </c>
      <c r="B26" s="1">
        <v>45314</v>
      </c>
      <c r="C26" t="s">
        <v>5</v>
      </c>
      <c r="D26" t="s">
        <v>28</v>
      </c>
      <c r="E26" t="s">
        <v>47</v>
      </c>
      <c r="F26">
        <v>19</v>
      </c>
      <c r="G26">
        <v>3.45</v>
      </c>
      <c r="H26">
        <f t="shared" si="0"/>
        <v>65.55</v>
      </c>
      <c r="I26">
        <v>5.7</v>
      </c>
      <c r="J26" s="2">
        <f t="shared" si="1"/>
        <v>0.65217391304347827</v>
      </c>
    </row>
    <row r="27" spans="1:10" x14ac:dyDescent="0.25">
      <c r="A27">
        <v>1023</v>
      </c>
      <c r="B27" s="1">
        <v>45315</v>
      </c>
      <c r="C27" t="s">
        <v>2</v>
      </c>
      <c r="D27" t="s">
        <v>29</v>
      </c>
      <c r="E27" t="s">
        <v>46</v>
      </c>
      <c r="F27">
        <v>33</v>
      </c>
      <c r="G27">
        <v>3.88</v>
      </c>
      <c r="H27">
        <f t="shared" si="0"/>
        <v>128.04</v>
      </c>
      <c r="I27">
        <v>5.8</v>
      </c>
      <c r="J27" s="2">
        <f t="shared" si="1"/>
        <v>0.49484536082474229</v>
      </c>
    </row>
    <row r="28" spans="1:10" x14ac:dyDescent="0.25">
      <c r="A28">
        <v>1024</v>
      </c>
      <c r="B28" s="1">
        <v>45316</v>
      </c>
      <c r="C28" t="s">
        <v>5</v>
      </c>
      <c r="D28" t="s">
        <v>30</v>
      </c>
      <c r="E28" t="s">
        <v>46</v>
      </c>
      <c r="F28">
        <v>91</v>
      </c>
      <c r="G28">
        <v>28.9</v>
      </c>
      <c r="H28">
        <f t="shared" si="0"/>
        <v>2629.9</v>
      </c>
      <c r="I28">
        <v>43.7</v>
      </c>
      <c r="J28" s="2">
        <f t="shared" si="1"/>
        <v>0.5121107266435988</v>
      </c>
    </row>
    <row r="29" spans="1:10" x14ac:dyDescent="0.25">
      <c r="A29">
        <v>1025</v>
      </c>
      <c r="B29" s="1">
        <v>45317</v>
      </c>
      <c r="C29" t="s">
        <v>0</v>
      </c>
      <c r="D29" t="s">
        <v>31</v>
      </c>
      <c r="E29" t="s">
        <v>46</v>
      </c>
      <c r="F29">
        <v>25</v>
      </c>
      <c r="G29">
        <v>14.56</v>
      </c>
      <c r="H29">
        <f t="shared" si="0"/>
        <v>364</v>
      </c>
      <c r="I29">
        <v>19.47</v>
      </c>
      <c r="J29" s="2">
        <f t="shared" si="1"/>
        <v>0.33722527472527458</v>
      </c>
    </row>
    <row r="30" spans="1:10" x14ac:dyDescent="0.25">
      <c r="A30">
        <v>1026</v>
      </c>
      <c r="B30" s="1">
        <v>45318</v>
      </c>
      <c r="C30" t="s">
        <v>2</v>
      </c>
      <c r="D30" t="s">
        <v>32</v>
      </c>
      <c r="E30" t="s">
        <v>46</v>
      </c>
      <c r="F30">
        <v>56</v>
      </c>
      <c r="G30">
        <v>6.6</v>
      </c>
      <c r="H30">
        <f t="shared" si="0"/>
        <v>369.59999999999997</v>
      </c>
      <c r="I30">
        <v>10</v>
      </c>
      <c r="J30" s="2">
        <f t="shared" si="1"/>
        <v>0.51515151515151525</v>
      </c>
    </row>
    <row r="31" spans="1:10" x14ac:dyDescent="0.25">
      <c r="A31">
        <v>1027</v>
      </c>
      <c r="B31" s="1">
        <v>45319</v>
      </c>
      <c r="C31" t="s">
        <v>5</v>
      </c>
      <c r="D31" t="s">
        <v>33</v>
      </c>
      <c r="E31" t="s">
        <v>47</v>
      </c>
      <c r="F31">
        <v>29</v>
      </c>
      <c r="G31">
        <v>5.8</v>
      </c>
      <c r="H31">
        <f t="shared" si="0"/>
        <v>168.2</v>
      </c>
      <c r="I31">
        <v>8.99</v>
      </c>
      <c r="J31" s="2">
        <f t="shared" si="1"/>
        <v>0.55000000000000004</v>
      </c>
    </row>
    <row r="32" spans="1:10" x14ac:dyDescent="0.25">
      <c r="A32">
        <v>1028</v>
      </c>
      <c r="B32" s="1">
        <v>45320</v>
      </c>
      <c r="C32" t="s">
        <v>2</v>
      </c>
      <c r="D32" t="s">
        <v>34</v>
      </c>
      <c r="E32" t="s">
        <v>46</v>
      </c>
      <c r="F32">
        <v>14</v>
      </c>
      <c r="G32">
        <v>7.8</v>
      </c>
      <c r="H32">
        <f t="shared" si="0"/>
        <v>109.2</v>
      </c>
      <c r="I32">
        <v>10</v>
      </c>
      <c r="J32" s="2">
        <f t="shared" si="1"/>
        <v>0.2820512820512821</v>
      </c>
    </row>
    <row r="33" spans="1:10" x14ac:dyDescent="0.25">
      <c r="A33">
        <v>1029</v>
      </c>
      <c r="B33" s="1">
        <v>45321</v>
      </c>
      <c r="C33" t="s">
        <v>2</v>
      </c>
      <c r="D33" t="s">
        <v>35</v>
      </c>
      <c r="E33" t="s">
        <v>46</v>
      </c>
      <c r="F33">
        <v>49</v>
      </c>
      <c r="G33">
        <v>7.8</v>
      </c>
      <c r="H33">
        <f t="shared" si="0"/>
        <v>382.2</v>
      </c>
      <c r="I33">
        <v>11.7</v>
      </c>
      <c r="J33" s="2">
        <f t="shared" si="1"/>
        <v>0.49999999999999994</v>
      </c>
    </row>
    <row r="34" spans="1:10" x14ac:dyDescent="0.25">
      <c r="B34" s="1"/>
    </row>
    <row r="35" spans="1:10" x14ac:dyDescent="0.25">
      <c r="A35" t="s">
        <v>48</v>
      </c>
    </row>
    <row r="36" spans="1:10" x14ac:dyDescent="0.25">
      <c r="A36">
        <f>SUM(F4:F33)</f>
        <v>1564</v>
      </c>
    </row>
    <row r="39" spans="1:10" x14ac:dyDescent="0.25">
      <c r="A39" t="s">
        <v>49</v>
      </c>
      <c r="B39" t="s">
        <v>51</v>
      </c>
    </row>
    <row r="40" spans="1:10" x14ac:dyDescent="0.25">
      <c r="A40" t="s">
        <v>0</v>
      </c>
      <c r="B40">
        <f>SUM(H4+H7+H14+H11+H18+H21+H25+H29)</f>
        <v>13868.82</v>
      </c>
    </row>
    <row r="41" spans="1:10" x14ac:dyDescent="0.25">
      <c r="A41" t="s">
        <v>3</v>
      </c>
      <c r="B41">
        <f>SUM(H8+H19+H22)</f>
        <v>1325.05</v>
      </c>
    </row>
    <row r="42" spans="1:10" x14ac:dyDescent="0.25">
      <c r="A42" t="s">
        <v>2</v>
      </c>
      <c r="B42">
        <f>SUM(H20+H16+H15+H10+H9+H6+H27+H30+H33+H32)</f>
        <v>2287.9499999999994</v>
      </c>
    </row>
    <row r="43" spans="1:10" x14ac:dyDescent="0.25">
      <c r="A43" t="s">
        <v>50</v>
      </c>
      <c r="B43">
        <f>SUM(H12+H17+H23+H26+H2+H28+H31)</f>
        <v>4694.25</v>
      </c>
    </row>
    <row r="44" spans="1:10" x14ac:dyDescent="0.25">
      <c r="A44" t="s">
        <v>1</v>
      </c>
      <c r="B44">
        <f>SUM(H5+H13+H24)</f>
        <v>874.02</v>
      </c>
    </row>
  </sheetData>
  <conditionalFormatting sqref="K4:K33">
    <cfRule type="top10" dxfId="1" priority="2" percent="1" rank="49"/>
  </conditionalFormatting>
  <conditionalFormatting sqref="J4:K33">
    <cfRule type="cellIs" dxfId="0" priority="1" operator="lessThan">
      <formula>0.5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EtecVAV</dc:creator>
  <cp:lastModifiedBy>EtecVAV</cp:lastModifiedBy>
  <cp:lastPrinted>2026-06-22T12:00:57Z</cp:lastPrinted>
  <dcterms:created xsi:type="dcterms:W3CDTF">2026-06-22T11:22:39Z</dcterms:created>
  <dcterms:modified xsi:type="dcterms:W3CDTF">2026-06-22T12:56:20Z</dcterms:modified>
</cp:coreProperties>
</file>